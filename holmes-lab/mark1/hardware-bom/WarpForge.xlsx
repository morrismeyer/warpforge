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5"/>
    <sheet name="Mark 1" sheetId="2" r:id="rId6"/>
    <sheet name="Mark 2" sheetId="3" r:id="rId7"/>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<sst xmlns="http://schemas.openxmlformats.org/spreadsheetml/2006/main" uniqueCount="56">
  <si>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</si>
  <si>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</si>
  <si>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</si>
  <si>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</si>
  <si>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Mark 1</t>
  </si>
  <si>
    <t>Table 1</t>
  </si>
  <si>
    <t>MicroCenter</t>
  </si>
  <si>
    <t>Ebay</t>
  </si>
  <si>
    <t>Count</t>
  </si>
  <si>
    <t>Cost</t>
  </si>
  <si>
    <t>CPU</t>
  </si>
  <si>
    <t>AMD Ryzen 7 9700X Granite Ridge AM5 3.80GHz 8-Core</t>
  </si>
  <si>
    <t>Motherboard</t>
  </si>
  <si>
    <t>ASUS X670E ROG CROSSHAIR Hero AMD AM5 ATX</t>
  </si>
  <si>
    <t>GPU</t>
  </si>
  <si>
    <t>NVIDIA GeForce RTX 4080 FE Refurbished</t>
  </si>
  <si>
    <t>Sapphire Technology AMD Radeon RX 9070 XT PULSE Triple Fan 16GB GDDR6 PCIe 5.0</t>
  </si>
  <si>
    <t>Memory</t>
  </si>
  <si>
    <t>Corsair RMe Series RM1000e 1000 Watt Cybenetics Go</t>
  </si>
  <si>
    <t>SSD</t>
  </si>
  <si>
    <t>Inland QN450 1TB</t>
  </si>
  <si>
    <t>Power Supply</t>
  </si>
  <si>
    <t>Corsair RMe RME1000e</t>
  </si>
  <si>
    <t>Case</t>
  </si>
  <si>
    <t>Lian Li LANCOOL III RGB Tempered Glass ATX Mid-Tower Computer Case - Black</t>
  </si>
  <si>
    <t>Cooler</t>
  </si>
  <si>
    <t>NZXT T120 CPU Air Cooler</t>
  </si>
  <si>
    <t>Mellanox</t>
  </si>
  <si>
    <t>MCX515A-CCAT Mellanox ConnectX-5 100GbE 1-Port QSFP28 x 1 PCIe 3.0x16 EN Card</t>
  </si>
  <si>
    <t>Cable - 100 GbE</t>
  </si>
  <si>
    <t>New Mellanox 100GbE QSFP28 to QSFP28 PVC 3M 26AWG Passive Copper Cable</t>
  </si>
  <si>
    <t>NUC</t>
  </si>
  <si>
    <t>ASUS NUC 12 Pro Mini PC Intel Core i5-1240P 16GB DDR4 512GB SSD</t>
  </si>
  <si>
    <t>Switch</t>
  </si>
  <si>
    <t>Cable - 2.5 GbE</t>
  </si>
  <si>
    <t>5 Cat6a 3 foot cables</t>
  </si>
  <si>
    <t>Cable - 10 GbE</t>
  </si>
  <si>
    <t>50 foot from lab to router</t>
  </si>
  <si>
    <t>Total</t>
  </si>
  <si>
    <t>Mark 2</t>
  </si>
  <si>
    <t xml:space="preserve">Cost </t>
  </si>
  <si>
    <t>AMD Ryzen Threadripper PRO 9965WX Shimada Peak 4.2GHz 24-Core</t>
  </si>
  <si>
    <t>ASUS WRX90E-SAGE Pro WS SE AMD sTR5 EEB Motherboard</t>
  </si>
  <si>
    <t>GPU - AMD</t>
  </si>
  <si>
    <t>GPU - NVIDIA</t>
  </si>
  <si>
    <t>PNY - GeForce RTX 5090 32GB OC GDDR7 PCI Express 5.0 Graphics Card with Triple Fan</t>
  </si>
  <si>
    <t>SeaSonic Electronics PRIME PX ATX 3.1 1600W 80 Plus</t>
  </si>
  <si>
    <t>RAM</t>
  </si>
  <si>
    <t>Kingston FURY Renegade Pro 128GB (4 x 32GB) DDR5 SDRAM</t>
  </si>
  <si>
    <t>NIC</t>
  </si>
  <si>
    <t>Mellanox MCX623106AC-CDAT ConnectX-6 Dx EN adapter card, 100GbE, Dual-port QSFP56, PCIe 4.0 x16, Crypto and Secure Boot LP Ref (Dell OEM)</t>
  </si>
  <si>
    <t>QSFP28/25GbE SFP28 Managed Switch, QSW-M7308R-4X</t>
  </si>
  <si>
    <t>Cables</t>
  </si>
  <si>
    <t>1M Mellanox MCP1600-C001 Compatible 100G QSFP28 Passive Direct Attach Copper Twinax Cable</t>
  </si>
  <si>
    <t>2 TB SK hynix Platinum P41</t>
  </si>
  <si>
    <t>Phanteks Enthoo Pro 2 Server Edition</t>
  </si>
</sst>
</file>

<file path=xl/styles.xml><?xml version="1.0" encoding="utf-8"?>
<styleSheet xmlns="http://schemas.openxmlformats.org/spreadsheetml/2006/main">
  <numFmts count="2">
    <numFmt numFmtId="0" formatCode="General"/>
    <numFmt numFmtId="59" formatCode="&quot;$&quot;0.00"/>
  </numFmts>
  <fonts count="7">
    <font>
      <sz val="10"/>
      <color indexed="8"/>
      <name val="Helvetica Neue"/>
    </font>
    <font>
      <sz val="12"/>
      <color indexed="8"/>
      <name val="Helvetica Neue"/>
    </font>
    <font>
      <sz val="14"/>
      <color indexed="8"/>
      <name val="Helvetica Neue"/>
    </font>
    <font>
      <u val="single"/>
      <sz val="12"/>
      <color indexed="11"/>
      <name val="Helvetica Neue"/>
    </font>
    <font>
      <b val="1"/>
      <sz val="10"/>
      <color indexed="8"/>
      <name val="Helvetica Neue"/>
    </font>
    <font>
      <b val="1"/>
      <i val="1"/>
      <sz val="10"/>
      <color indexed="8"/>
      <name val="Helvetica Neue"/>
    </font>
    <font>
      <b val="1"/>
      <i val="1"/>
      <u val="single"/>
      <sz val="13"/>
      <color indexed="8"/>
      <name val="Helvetica Neue"/>
    </font>
  </fonts>
  <fills count="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5"/>
        <bgColor auto="1"/>
      </patternFill>
    </fill>
  </fills>
  <borders count="8">
    <border>
      <left/>
      <right/>
      <top/>
      <bottom/>
      <diagonal/>
    </border>
    <border>
      <left style="thin">
        <color indexed="13"/>
      </left>
      <right style="thin">
        <color indexed="13"/>
      </right>
      <top style="thin">
        <color indexed="13"/>
      </top>
      <bottom style="thin">
        <color indexed="14"/>
      </bottom>
      <diagonal/>
    </border>
    <border>
      <left style="thin">
        <color indexed="13"/>
      </left>
      <right style="thin">
        <color indexed="14"/>
      </right>
      <top style="thin">
        <color indexed="14"/>
      </top>
      <bottom style="thin">
        <color indexed="13"/>
      </bottom>
      <diagonal/>
    </border>
    <border>
      <left style="thin">
        <color indexed="14"/>
      </left>
      <right style="thin">
        <color indexed="13"/>
      </right>
      <top style="thin">
        <color indexed="14"/>
      </top>
      <bottom style="thin">
        <color indexed="13"/>
      </bottom>
      <diagonal/>
    </border>
    <border>
      <left style="thin">
        <color indexed="13"/>
      </left>
      <right style="thin">
        <color indexed="13"/>
      </right>
      <top style="thin">
        <color indexed="14"/>
      </top>
      <bottom style="thin">
        <color indexed="13"/>
      </bottom>
      <diagonal/>
    </border>
    <border>
      <left style="thin">
        <color indexed="13"/>
      </left>
      <right style="thin">
        <color indexed="14"/>
      </right>
      <top style="thin">
        <color indexed="13"/>
      </top>
      <bottom style="thin">
        <color indexed="13"/>
      </bottom>
      <diagonal/>
    </border>
    <border>
      <left style="thin">
        <color indexed="14"/>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3"/>
      </bottom>
      <diagonal/>
    </border>
  </borders>
  <cellStyleXfs count="1">
    <xf numFmtId="0" fontId="0" applyNumberFormat="0" applyFont="1" applyFill="0" applyBorder="0" applyAlignment="1" applyProtection="0">
      <alignment vertical="top" wrapText="1"/>
    </xf>
  </cellStyleXfs>
  <cellXfs count="25">
    <xf numFmtId="0" fontId="0" applyNumberFormat="0" applyFont="1" applyFill="0" applyBorder="0" applyAlignment="1" applyProtection="0">
      <alignment vertical="top" wrapText="1"/>
    </xf>
    <xf numFmtId="0" fontId="1" applyNumberFormat="0" applyFont="1" applyFill="0" applyBorder="0" applyAlignment="1" applyProtection="0">
      <alignment horizontal="left" vertical="top" wrapText="1"/>
    </xf>
    <xf numFmtId="0" fontId="2" applyNumberFormat="0" applyFont="1" applyFill="0" applyBorder="0" applyAlignment="1" applyProtection="0">
      <alignment horizontal="left" vertical="top" wrapText="1"/>
    </xf>
    <xf numFmtId="0" fontId="1" fillId="2" applyNumberFormat="0" applyFont="1" applyFill="1" applyBorder="0" applyAlignment="1" applyProtection="0">
      <alignment horizontal="left" vertical="top" wrapText="1"/>
    </xf>
    <xf numFmtId="0" fontId="1" fillId="3" applyNumberFormat="0" applyFont="1" applyFill="1" applyBorder="0" applyAlignment="1" applyProtection="0">
      <alignment horizontal="left" vertical="top" wrapText="1"/>
    </xf>
    <xf numFmtId="0" fontId="3" fillId="3" applyNumberFormat="0" applyFont="1" applyFill="1" applyBorder="0" applyAlignment="1" applyProtection="0">
      <alignment horizontal="lef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0" fontId="4" fillId="4" borderId="1" applyNumberFormat="0" applyFont="1" applyFill="1" applyBorder="1" applyAlignment="1" applyProtection="0">
      <alignment vertical="top" wrapText="1"/>
    </xf>
    <xf numFmtId="49" fontId="4" fillId="4" borderId="1" applyNumberFormat="1" applyFont="1" applyFill="1" applyBorder="1" applyAlignment="1" applyProtection="0">
      <alignment vertical="top" wrapText="1"/>
    </xf>
    <xf numFmtId="49" fontId="5" fillId="5" borderId="2" applyNumberFormat="1" applyFont="1" applyFill="1" applyBorder="1" applyAlignment="1" applyProtection="0">
      <alignment vertical="top" wrapText="1"/>
    </xf>
    <xf numFmtId="49" fontId="0" borderId="3" applyNumberFormat="1" applyFont="1" applyFill="0" applyBorder="1" applyAlignment="1" applyProtection="0">
      <alignment vertical="top" wrapText="1"/>
    </xf>
    <xf numFmtId="59" fontId="0" borderId="4" applyNumberFormat="1" applyFont="1" applyFill="0" applyBorder="1" applyAlignment="1" applyProtection="0">
      <alignment vertical="top" wrapText="1"/>
    </xf>
    <xf numFmtId="0" fontId="0" borderId="4" applyNumberFormat="0" applyFont="1" applyFill="0" applyBorder="1" applyAlignment="1" applyProtection="0">
      <alignment vertical="top" wrapText="1"/>
    </xf>
    <xf numFmtId="0" fontId="0" borderId="4" applyNumberFormat="1" applyFont="1" applyFill="0" applyBorder="1" applyAlignment="1" applyProtection="0">
      <alignment vertical="top" wrapText="1"/>
    </xf>
    <xf numFmtId="49" fontId="5" fillId="5" borderId="5" applyNumberFormat="1" applyFont="1" applyFill="1" applyBorder="1" applyAlignment="1" applyProtection="0">
      <alignment vertical="top" wrapText="1"/>
    </xf>
    <xf numFmtId="49" fontId="0" borderId="6" applyNumberFormat="1" applyFont="1" applyFill="0" applyBorder="1" applyAlignment="1" applyProtection="0">
      <alignment vertical="top" wrapText="1"/>
    </xf>
    <xf numFmtId="59" fontId="0" borderId="7" applyNumberFormat="1" applyFont="1" applyFill="0" applyBorder="1" applyAlignment="1" applyProtection="0">
      <alignment vertical="top" wrapText="1"/>
    </xf>
    <xf numFmtId="0" fontId="0" borderId="7" applyNumberFormat="0" applyFont="1" applyFill="0" applyBorder="1" applyAlignment="1" applyProtection="0">
      <alignment vertical="top" wrapText="1"/>
    </xf>
    <xf numFmtId="0" fontId="0" borderId="7" applyNumberFormat="1" applyFont="1" applyFill="0" applyBorder="1" applyAlignment="1" applyProtection="0">
      <alignment vertical="top" wrapText="1"/>
    </xf>
    <xf numFmtId="49" fontId="6" fillId="5" borderId="5" applyNumberFormat="1" applyFont="1" applyFill="1" applyBorder="1" applyAlignment="1" applyProtection="0">
      <alignment vertical="top" wrapText="1"/>
    </xf>
    <xf numFmtId="0" fontId="0" borderId="6" applyNumberFormat="0" applyFont="1" applyFill="0" applyBorder="1" applyAlignment="1" applyProtection="0">
      <alignment vertical="top" wrapText="1"/>
    </xf>
    <xf numFmtId="49" fontId="4" fillId="5" borderId="5" applyNumberFormat="1" applyFont="1" applyFill="1" applyBorder="1" applyAlignment="1" applyProtection="0">
      <alignment vertical="top" wrapText="1"/>
    </xf>
    <xf numFmtId="0" fontId="0" applyNumberFormat="1" applyFont="1" applyFill="0" applyBorder="0" applyAlignment="1" applyProtection="0">
      <alignment vertical="top" wrapText="1"/>
    </xf>
    <xf numFmtId="49" fontId="4" fillId="5" borderId="2" applyNumberFormat="1" applyFont="1" applyFill="1"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39</v>
      </c>
      <c r="C11" s="3"/>
      <c r="D11" s="3"/>
    </row>
    <row r="12">
      <c r="B12" s="4"/>
      <c r="C12" t="s" s="4">
        <v>5</v>
      </c>
      <c r="D12" t="s" s="5">
        <v>39</v>
      </c>
    </row>
  </sheetData>
  <mergeCells count="1">
    <mergeCell ref="B3:D3"/>
  </mergeCells>
  <hyperlinks>
    <hyperlink ref="D10" location="'Mark 1'!R2C1" tooltip="" display="Mark 1"/>
    <hyperlink ref="D12" location="'Mark 2'!R2C1" tooltip="" display="Mark 2"/>
  </hyperlinks>
</worksheet>
</file>

<file path=xl/worksheets/sheet2.xml><?xml version="1.0" encoding="utf-8"?>
<worksheet xmlns:r="http://schemas.openxmlformats.org/officeDocument/2006/relationships" xmlns="http://schemas.openxmlformats.org/spreadsheetml/2006/main">
  <dimension ref="A2:F18"/>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4.5859" style="6" customWidth="1"/>
    <col min="2" max="2" width="22.125" style="6" customWidth="1"/>
    <col min="3" max="3" width="11.4062" style="6" customWidth="1"/>
    <col min="4" max="4" width="7.57812" style="6" customWidth="1"/>
    <col min="5" max="5" width="6.40625" style="6" customWidth="1"/>
    <col min="6" max="6" width="8.57812" style="6" customWidth="1"/>
    <col min="7" max="16384" width="16.3516" style="6" customWidth="1"/>
  </cols>
  <sheetData>
    <row r="1" ht="27.65" customHeight="1">
      <c r="A1" t="s" s="7">
        <v>5</v>
      </c>
      <c r="B1" s="7"/>
      <c r="C1" s="7"/>
      <c r="D1" s="7"/>
      <c r="E1" s="7"/>
      <c r="F1" s="7"/>
    </row>
    <row r="2" ht="20.25" customHeight="1">
      <c r="A2" s="8"/>
      <c r="B2" s="8"/>
      <c r="C2" t="s" s="9">
        <v>6</v>
      </c>
      <c r="D2" t="s" s="9">
        <v>7</v>
      </c>
      <c r="E2" t="s" s="9">
        <v>8</v>
      </c>
      <c r="F2" t="s" s="9">
        <v>9</v>
      </c>
    </row>
    <row r="3" ht="44.25" customHeight="1">
      <c r="A3" t="s" s="10">
        <v>10</v>
      </c>
      <c r="B3" t="s" s="11">
        <v>11</v>
      </c>
      <c r="C3" s="12">
        <v>299.99</v>
      </c>
      <c r="D3" s="13"/>
      <c r="E3" s="14">
        <v>2</v>
      </c>
      <c r="F3" s="12" cm="1">
        <f t="array" ref="F3">C3*E3</f>
        <v>599.98</v>
      </c>
    </row>
    <row r="4" ht="44.05" customHeight="1">
      <c r="A4" t="s" s="15">
        <v>12</v>
      </c>
      <c r="B4" t="s" s="16">
        <v>13</v>
      </c>
      <c r="C4" s="17">
        <v>449.99</v>
      </c>
      <c r="D4" s="18"/>
      <c r="E4" s="19">
        <v>2</v>
      </c>
      <c r="F4" s="17" cm="1">
        <f t="array" ref="F4">C4*E4</f>
        <v>899.98</v>
      </c>
    </row>
    <row r="5" ht="32.05" customHeight="1">
      <c r="A5" t="s" s="15">
        <v>14</v>
      </c>
      <c r="B5" t="s" s="16">
        <v>15</v>
      </c>
      <c r="C5" s="17">
        <v>749.99</v>
      </c>
      <c r="D5" s="18"/>
      <c r="E5" s="19">
        <v>1</v>
      </c>
      <c r="F5" s="17" cm="1">
        <f t="array" ref="F5">C5*E5</f>
        <v>749.99</v>
      </c>
    </row>
    <row r="6" ht="56.05" customHeight="1">
      <c r="A6" t="s" s="20">
        <v>14</v>
      </c>
      <c r="B6" t="s" s="16">
        <v>16</v>
      </c>
      <c r="C6" s="17">
        <v>669.99</v>
      </c>
      <c r="D6" s="18"/>
      <c r="E6" s="19">
        <v>1</v>
      </c>
      <c r="F6" s="17" cm="1">
        <f t="array" ref="F6">C6*E6</f>
        <v>669.99</v>
      </c>
    </row>
    <row r="7" ht="44.05" customHeight="1">
      <c r="A7" t="s" s="15">
        <v>17</v>
      </c>
      <c r="B7" t="s" s="16">
        <v>18</v>
      </c>
      <c r="C7" s="17">
        <v>429</v>
      </c>
      <c r="D7" s="18"/>
      <c r="E7" s="19">
        <v>2</v>
      </c>
      <c r="F7" s="17" cm="1">
        <f t="array" ref="F7">C7*E7</f>
        <v>858</v>
      </c>
    </row>
    <row r="8" ht="20.05" customHeight="1">
      <c r="A8" t="s" s="15">
        <v>19</v>
      </c>
      <c r="B8" t="s" s="16">
        <v>20</v>
      </c>
      <c r="C8" s="17">
        <v>72.98999999999999</v>
      </c>
      <c r="D8" s="18"/>
      <c r="E8" s="19">
        <v>2</v>
      </c>
      <c r="F8" s="17" cm="1">
        <f t="array" ref="F8">C8*E8</f>
        <v>145.98</v>
      </c>
    </row>
    <row r="9" ht="20.05" customHeight="1">
      <c r="A9" t="s" s="15">
        <v>21</v>
      </c>
      <c r="B9" t="s" s="16">
        <v>22</v>
      </c>
      <c r="C9" s="17">
        <v>144.99</v>
      </c>
      <c r="D9" s="18"/>
      <c r="E9" s="19">
        <v>2</v>
      </c>
      <c r="F9" s="17" cm="1">
        <f t="array" ref="F9">C9*E9</f>
        <v>289.98</v>
      </c>
    </row>
    <row r="10" ht="56.05" customHeight="1">
      <c r="A10" t="s" s="15">
        <v>23</v>
      </c>
      <c r="B10" t="s" s="16">
        <v>24</v>
      </c>
      <c r="C10" s="17">
        <v>157.99</v>
      </c>
      <c r="D10" s="18"/>
      <c r="E10" s="19">
        <v>2</v>
      </c>
      <c r="F10" s="17" cm="1">
        <f t="array" ref="F10">C10*E10</f>
        <v>315.98</v>
      </c>
    </row>
    <row r="11" ht="20.05" customHeight="1">
      <c r="A11" t="s" s="15">
        <v>25</v>
      </c>
      <c r="B11" t="s" s="16">
        <v>26</v>
      </c>
      <c r="C11" s="17">
        <v>24.99</v>
      </c>
      <c r="D11" s="18"/>
      <c r="E11" s="19">
        <v>2</v>
      </c>
      <c r="F11" s="17" cm="1">
        <f t="array" ref="F11">C11*E11</f>
        <v>49.98</v>
      </c>
    </row>
    <row r="12" ht="56.05" customHeight="1">
      <c r="A12" t="s" s="15">
        <v>27</v>
      </c>
      <c r="B12" t="s" s="16">
        <v>28</v>
      </c>
      <c r="C12" s="18"/>
      <c r="D12" s="17">
        <v>200.34</v>
      </c>
      <c r="E12" s="19">
        <v>2</v>
      </c>
      <c r="F12" s="17" cm="1">
        <f t="array" ref="F12">D12*E12</f>
        <v>400.68</v>
      </c>
    </row>
    <row r="13" ht="56.05" customHeight="1">
      <c r="A13" t="s" s="15">
        <v>29</v>
      </c>
      <c r="B13" t="s" s="16">
        <v>30</v>
      </c>
      <c r="C13" s="18"/>
      <c r="D13" s="17">
        <v>30.9</v>
      </c>
      <c r="E13" s="19">
        <v>1</v>
      </c>
      <c r="F13" s="17" cm="1">
        <f t="array" ref="F13">D13*E13</f>
        <v>30.9</v>
      </c>
    </row>
    <row r="14" ht="44.05" customHeight="1">
      <c r="A14" t="s" s="15">
        <v>31</v>
      </c>
      <c r="B14" t="s" s="16">
        <v>32</v>
      </c>
      <c r="C14" s="18"/>
      <c r="D14" s="17">
        <v>374.98</v>
      </c>
      <c r="E14" s="19">
        <v>1</v>
      </c>
      <c r="F14" s="17" cm="1">
        <f t="array" ref="F14">D14*E14</f>
        <v>374.98</v>
      </c>
    </row>
    <row r="15" ht="20.05" customHeight="1">
      <c r="A15" t="s" s="15">
        <v>33</v>
      </c>
      <c r="B15" s="21"/>
      <c r="C15" s="17">
        <v>119.99</v>
      </c>
      <c r="D15" s="18"/>
      <c r="E15" s="19">
        <v>1</v>
      </c>
      <c r="F15" s="17" cm="1">
        <f t="array" ref="F15">C15*E15</f>
        <v>119.99</v>
      </c>
    </row>
    <row r="16" ht="20.05" customHeight="1">
      <c r="A16" t="s" s="15">
        <v>34</v>
      </c>
      <c r="B16" t="s" s="16">
        <v>35</v>
      </c>
      <c r="C16" s="19">
        <v>9.99</v>
      </c>
      <c r="D16" s="18"/>
      <c r="E16" s="19">
        <v>1</v>
      </c>
      <c r="F16" s="19" cm="1">
        <f t="array" ref="F16">C16*E16</f>
        <v>9.99</v>
      </c>
    </row>
    <row r="17" ht="20.05" customHeight="1">
      <c r="A17" t="s" s="15">
        <v>36</v>
      </c>
      <c r="B17" t="s" s="16">
        <v>37</v>
      </c>
      <c r="C17" s="17">
        <v>10.59</v>
      </c>
      <c r="D17" s="18"/>
      <c r="E17" s="19">
        <v>1</v>
      </c>
      <c r="F17" s="17" cm="1">
        <f t="array" ref="F17">C17*E17</f>
        <v>10.59</v>
      </c>
    </row>
    <row r="18" ht="20.05" customHeight="1">
      <c r="A18" t="s" s="22">
        <v>38</v>
      </c>
      <c r="B18" s="21"/>
      <c r="C18" s="18"/>
      <c r="D18" s="18"/>
      <c r="E18" s="18"/>
      <c r="F18" s="17" cm="1">
        <f t="array" ref="F18">SUM(F3:F16)</f>
        <v>5516.4</v>
      </c>
    </row>
  </sheetData>
  <mergeCells count="1">
    <mergeCell ref="A1:F1"/>
  </mergeCells>
  <pageMargins left="0.5" right="0.5" top="0.75" bottom="0.75" header="0.277778" footer="0.277778"/>
  <pageSetup firstPageNumber="1" fitToHeight="1" fitToWidth="1" scale="111"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2:E14"/>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5" width="16.3516" style="23" customWidth="1"/>
    <col min="6" max="16384" width="16.3516" style="23" customWidth="1"/>
  </cols>
  <sheetData>
    <row r="1" ht="27.65" customHeight="1">
      <c r="A1" t="s" s="7">
        <v>5</v>
      </c>
      <c r="B1" s="7"/>
      <c r="C1" s="7"/>
      <c r="D1" s="7"/>
      <c r="E1" s="7"/>
    </row>
    <row r="2" ht="20.25" customHeight="1">
      <c r="A2" s="8"/>
      <c r="B2" s="8"/>
      <c r="C2" t="s" s="9">
        <v>6</v>
      </c>
      <c r="D2" t="s" s="9">
        <v>8</v>
      </c>
      <c r="E2" t="s" s="9">
        <v>40</v>
      </c>
    </row>
    <row r="3" ht="68.25" customHeight="1">
      <c r="A3" t="s" s="24">
        <v>10</v>
      </c>
      <c r="B3" t="s" s="11">
        <v>41</v>
      </c>
      <c r="C3" s="12">
        <v>2700</v>
      </c>
      <c r="D3" s="14">
        <v>2</v>
      </c>
      <c r="E3" s="12" cm="1">
        <f t="array" ref="E3">C3*D3</f>
        <v>5400</v>
      </c>
    </row>
    <row r="4" ht="56.05" customHeight="1">
      <c r="A4" t="s" s="22">
        <v>12</v>
      </c>
      <c r="B4" t="s" s="16">
        <v>42</v>
      </c>
      <c r="C4" s="17">
        <v>1200</v>
      </c>
      <c r="D4" s="19">
        <v>2</v>
      </c>
      <c r="E4" s="17" cm="1">
        <f t="array" ref="E4">C4*D4</f>
        <v>2400</v>
      </c>
    </row>
    <row r="5" ht="80.05" customHeight="1">
      <c r="A5" t="s" s="22">
        <v>43</v>
      </c>
      <c r="B5" t="s" s="16">
        <v>16</v>
      </c>
      <c r="C5" s="17">
        <v>750</v>
      </c>
      <c r="D5" s="19">
        <v>3</v>
      </c>
      <c r="E5" s="17" cm="1">
        <f t="array" ref="E5">C5*D5</f>
        <v>2250</v>
      </c>
    </row>
    <row r="6" ht="80.05" customHeight="1">
      <c r="A6" t="s" s="22">
        <v>44</v>
      </c>
      <c r="B6" t="s" s="16">
        <v>45</v>
      </c>
      <c r="C6" s="17">
        <v>2000</v>
      </c>
      <c r="D6" s="19">
        <v>2</v>
      </c>
      <c r="E6" s="17" cm="1">
        <f t="array" ref="E6">C6*D6</f>
        <v>4000</v>
      </c>
    </row>
    <row r="7" ht="56.05" customHeight="1">
      <c r="A7" t="s" s="22">
        <v>21</v>
      </c>
      <c r="B7" t="s" s="16">
        <v>46</v>
      </c>
      <c r="C7" s="17">
        <v>453</v>
      </c>
      <c r="D7" s="19">
        <v>2</v>
      </c>
      <c r="E7" s="17" cm="1">
        <f t="array" ref="E7">C7*D7</f>
        <v>906</v>
      </c>
    </row>
    <row r="8" ht="56.05" customHeight="1">
      <c r="A8" t="s" s="22">
        <v>47</v>
      </c>
      <c r="B8" t="s" s="16">
        <v>48</v>
      </c>
      <c r="C8" s="17">
        <v>1259</v>
      </c>
      <c r="D8" s="19">
        <v>2</v>
      </c>
      <c r="E8" s="17" cm="1">
        <f t="array" ref="E8">C8*D8</f>
        <v>2518</v>
      </c>
    </row>
    <row r="9" ht="128.05" customHeight="1">
      <c r="A9" t="s" s="22">
        <v>49</v>
      </c>
      <c r="B9" t="s" s="16">
        <v>50</v>
      </c>
      <c r="C9" s="17">
        <v>490</v>
      </c>
      <c r="D9" s="19">
        <v>2</v>
      </c>
      <c r="E9" s="17" cm="1">
        <f t="array" ref="E9">C9*D9</f>
        <v>980</v>
      </c>
    </row>
    <row r="10" ht="56.05" customHeight="1">
      <c r="A10" t="s" s="22">
        <v>33</v>
      </c>
      <c r="B10" t="s" s="16">
        <v>51</v>
      </c>
      <c r="C10" s="17">
        <v>1000</v>
      </c>
      <c r="D10" s="19">
        <v>1</v>
      </c>
      <c r="E10" s="17" cm="1">
        <f t="array" ref="E10">C10*D10</f>
        <v>1000</v>
      </c>
    </row>
    <row r="11" ht="92.05" customHeight="1">
      <c r="A11" t="s" s="22">
        <v>52</v>
      </c>
      <c r="B11" t="s" s="16">
        <v>53</v>
      </c>
      <c r="C11" s="17">
        <v>25.5</v>
      </c>
      <c r="D11" s="19">
        <v>4</v>
      </c>
      <c r="E11" s="17" cm="1">
        <f t="array" ref="E11">C11*D11</f>
        <v>102</v>
      </c>
    </row>
    <row r="12" ht="32.05" customHeight="1">
      <c r="A12" t="s" s="22">
        <v>19</v>
      </c>
      <c r="B12" t="s" s="16">
        <v>54</v>
      </c>
      <c r="C12" s="17">
        <v>220</v>
      </c>
      <c r="D12" s="19">
        <v>2</v>
      </c>
      <c r="E12" s="17" cm="1">
        <f t="array" ref="E12">C12*D12</f>
        <v>440</v>
      </c>
    </row>
    <row r="13" ht="32.05" customHeight="1">
      <c r="A13" t="s" s="22">
        <v>23</v>
      </c>
      <c r="B13" t="s" s="16">
        <v>55</v>
      </c>
      <c r="C13" s="17">
        <v>220</v>
      </c>
      <c r="D13" s="19">
        <v>2</v>
      </c>
      <c r="E13" s="17" cm="1">
        <f t="array" ref="E13">C13*D13</f>
        <v>440</v>
      </c>
    </row>
    <row r="14" ht="20.05" customHeight="1">
      <c r="A14" t="s" s="22">
        <v>38</v>
      </c>
      <c r="B14" s="21"/>
      <c r="C14" s="18"/>
      <c r="D14" s="18"/>
      <c r="E14" s="17" cm="1">
        <f t="array" ref="E14">SUM(E3:E13)</f>
        <v>20436</v>
      </c>
    </row>
  </sheetData>
  <mergeCells count="1">
    <mergeCell ref="A1:E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